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Desktop\Health_Analytics_Project\02-Excel_Working\"/>
    </mc:Choice>
  </mc:AlternateContent>
  <bookViews>
    <workbookView xWindow="0" yWindow="0" windowWidth="19200" windowHeight="7190"/>
  </bookViews>
  <sheets>
    <sheet name="Data" sheetId="1" r:id="rId1"/>
    <sheet name="Data-Profile" sheetId="3" r:id="rId2"/>
    <sheet name="Series - Metadata" sheetId="2" r:id="rId3"/>
  </sheets>
  <calcPr calcId="152511"/>
</workbook>
</file>

<file path=xl/calcChain.xml><?xml version="1.0" encoding="utf-8"?>
<calcChain xmlns="http://schemas.openxmlformats.org/spreadsheetml/2006/main">
  <c r="B7" i="3" l="1"/>
  <c r="B6" i="3"/>
  <c r="B5" i="3"/>
  <c r="B4" i="3"/>
  <c r="B3" i="3"/>
  <c r="B2" i="3"/>
</calcChain>
</file>

<file path=xl/sharedStrings.xml><?xml version="1.0" encoding="utf-8"?>
<sst xmlns="http://schemas.openxmlformats.org/spreadsheetml/2006/main" count="143" uniqueCount="86">
  <si>
    <t>Development relevance</t>
  </si>
  <si>
    <t>2013 [YR2013]</t>
  </si>
  <si>
    <t>Aggregation method</t>
  </si>
  <si>
    <t>GHA</t>
  </si>
  <si>
    <t>Annual data series from United Nations Population Division's World Population Prospects are interpolated data from 5-year period data. Therefore they may not reflect real events as much as observed data.</t>
  </si>
  <si>
    <t>2004 [YR2004]</t>
  </si>
  <si>
    <t>SP.DYN.LE00.IN</t>
  </si>
  <si>
    <t>2012 [YR2012]</t>
  </si>
  <si>
    <t>Country Code</t>
  </si>
  <si>
    <t>2018 [YR2018]</t>
  </si>
  <si>
    <t>Data from database: Health Nutrition and Population Statistics</t>
  </si>
  <si>
    <t>Code</t>
  </si>
  <si>
    <t>2003 [YR2003]</t>
  </si>
  <si>
    <t>Weighted average</t>
  </si>
  <si>
    <t>In many developing countries a lack of precise information on the size of the cohort of one-year-old children makes immunization coverage difficult to estimate from program statistics.</t>
  </si>
  <si>
    <t>Rwanda</t>
  </si>
  <si>
    <t>Mortality rate, under-5 (per 1,000 live births)</t>
  </si>
  <si>
    <t>Annual</t>
  </si>
  <si>
    <t>Immunization, DPT (% of children ages 12-23 months)</t>
  </si>
  <si>
    <t>Kenya</t>
  </si>
  <si>
    <t>2017 [YR2017]</t>
  </si>
  <si>
    <t>South Africa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</si>
  <si>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</si>
  <si>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RWA</t>
  </si>
  <si>
    <t>Country Name</t>
  </si>
  <si>
    <t>2008 [YR2008]</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</si>
  <si>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</si>
  <si>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NGA</t>
  </si>
  <si>
    <t>2016 [YR2016]</t>
  </si>
  <si>
    <t>Life expectancy at birth indicates the number of years a newborn infant would live if prevailing patterns of mortality at the time of its birth were to stay the same throughout its life.</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</si>
  <si>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</si>
  <si>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KEN</t>
  </si>
  <si>
    <t>2007 [YR2007]</t>
  </si>
  <si>
    <t>Limitations and exceptions</t>
  </si>
  <si>
    <t>Health: Disease prevention</t>
  </si>
  <si>
    <t>Ghana</t>
  </si>
  <si>
    <t>Nigeria</t>
  </si>
  <si>
    <t>License Type</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</si>
  <si>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</si>
  <si>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</si>
  <si>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</si>
  <si>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2021 [YR2021]</t>
  </si>
  <si>
    <t>2006 [YR2006]</t>
  </si>
  <si>
    <t>CC BY-4.0</t>
  </si>
  <si>
    <t>Last Updated: 07/01/2026</t>
  </si>
  <si>
    <t>Topic</t>
  </si>
  <si>
    <t>Life expectancy at birth, total (years)</t>
  </si>
  <si>
    <t>2020 [YR2020]</t>
  </si>
  <si>
    <t>Long definition</t>
  </si>
  <si>
    <t>Periodicity</t>
  </si>
  <si>
    <t>2011 [YR2011]</t>
  </si>
  <si>
    <t>2002 [YR2002]</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</si>
  <si>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</si>
  <si>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2019 [YR2019]</t>
  </si>
  <si>
    <t>Mortality rate, under-5 (per 1,000)</t>
  </si>
  <si>
    <t>ZAF</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</si>
  <si>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</si>
  <si>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Series Code</t>
  </si>
  <si>
    <t>2010 [YR2010]</t>
  </si>
  <si>
    <t>World Health Organization (WHO), uri: http://www.who.int/immunization/monitoring_surveillance/en/;
UN Children's Fund (UNICEF)</t>
  </si>
  <si>
    <t>2001 [YR2001]</t>
  </si>
  <si>
    <t>Under-five mortality rate is the probability per 1,000 that a newborn baby will die before reaching age five, if subject to age-specific mortality rates of the specified year.</t>
  </si>
  <si>
    <t>2024 [YR2024]</t>
  </si>
  <si>
    <t>Statistical concept and methodology</t>
  </si>
  <si>
    <t>2009 [YR2009]</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</si>
  <si>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</si>
  <si>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2015 [YR2015]</t>
  </si>
  <si>
    <t>2000 [YR2000]</t>
  </si>
  <si>
    <t>Health: Mortality</t>
  </si>
  <si>
    <t>Source</t>
  </si>
  <si>
    <t>SH.DYN.MORT</t>
  </si>
  <si>
    <t>Series Name</t>
  </si>
  <si>
    <t>2023 [YR2023]</t>
  </si>
  <si>
    <t>SH.IMM.IDPT</t>
  </si>
  <si>
    <t>Indicator Name</t>
  </si>
  <si>
    <t>2014 [YR2014]</t>
  </si>
  <si>
    <t>2005 [YR2005]</t>
  </si>
  <si>
    <t>2022 [YR2022]</t>
  </si>
  <si>
    <t>Profile Check</t>
  </si>
  <si>
    <t>Results</t>
  </si>
  <si>
    <t>Data Records</t>
  </si>
  <si>
    <t>Year Column</t>
  </si>
  <si>
    <t>Numeric Observations</t>
  </si>
  <si>
    <t>Non-Numeric Year Cells</t>
  </si>
  <si>
    <t>Blank Year Cells</t>
  </si>
  <si>
    <t>Blank Identifier Cells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</si>
</sst>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1"/>
  <sheetViews>
    <sheetView tabSelected="1" workbookViewId="0">
      <selection activeCell="A2" sqref="A2"/>
    </sheetView>
  </sheetViews>
  <sheetFormatPr defaultRowHeight="14.5" x14ac:dyDescent="0.35"/>
  <cols>
    <col min="1" max="1" width="47.6328125" customWidth="1"/>
    <col min="2" max="2" width="24.1796875" customWidth="1"/>
    <col min="3" max="3" width="20.54296875" customWidth="1"/>
    <col min="4" max="4" width="14.26953125" customWidth="1"/>
    <col min="5" max="5" width="12.36328125" customWidth="1"/>
    <col min="6" max="6" width="11.54296875" customWidth="1"/>
    <col min="7" max="7" width="12.26953125" customWidth="1"/>
    <col min="8" max="8" width="12.6328125" customWidth="1"/>
    <col min="9" max="9" width="11.90625" customWidth="1"/>
    <col min="10" max="10" width="13.36328125" customWidth="1"/>
    <col min="11" max="11" width="13.26953125" customWidth="1"/>
    <col min="12" max="12" width="13" customWidth="1"/>
    <col min="13" max="14" width="13.54296875" customWidth="1"/>
    <col min="15" max="15" width="14.1796875" customWidth="1"/>
    <col min="16" max="16" width="12.54296875" customWidth="1"/>
    <col min="17" max="17" width="14.81640625" customWidth="1"/>
    <col min="18" max="18" width="13.08984375" customWidth="1"/>
    <col min="19" max="19" width="12.54296875" customWidth="1"/>
    <col min="20" max="20" width="12.36328125" customWidth="1"/>
    <col min="21" max="21" width="13.90625" customWidth="1"/>
    <col min="22" max="22" width="13.08984375" customWidth="1"/>
    <col min="23" max="23" width="12.54296875" customWidth="1"/>
    <col min="24" max="24" width="14" customWidth="1"/>
    <col min="25" max="25" width="13.1796875" customWidth="1"/>
    <col min="26" max="26" width="14.90625" customWidth="1"/>
    <col min="27" max="27" width="13.81640625" customWidth="1"/>
    <col min="28" max="28" width="13.54296875" customWidth="1"/>
    <col min="29" max="29" width="14.36328125" customWidth="1"/>
  </cols>
  <sheetData>
    <row r="1" spans="1:29" s="3" customFormat="1" x14ac:dyDescent="0.35">
      <c r="A1" s="3" t="s">
        <v>71</v>
      </c>
      <c r="B1" s="4" t="s">
        <v>57</v>
      </c>
      <c r="C1" s="3" t="s">
        <v>24</v>
      </c>
      <c r="D1" s="4" t="s">
        <v>8</v>
      </c>
      <c r="E1" s="3" t="s">
        <v>67</v>
      </c>
      <c r="F1" s="3" t="s">
        <v>60</v>
      </c>
      <c r="G1" s="3" t="s">
        <v>51</v>
      </c>
      <c r="H1" s="3" t="s">
        <v>12</v>
      </c>
      <c r="I1" s="3" t="s">
        <v>5</v>
      </c>
      <c r="J1" s="3" t="s">
        <v>76</v>
      </c>
      <c r="K1" s="3" t="s">
        <v>42</v>
      </c>
      <c r="L1" s="3" t="s">
        <v>32</v>
      </c>
      <c r="M1" s="3" t="s">
        <v>25</v>
      </c>
      <c r="N1" s="3" t="s">
        <v>64</v>
      </c>
      <c r="O1" s="3" t="s">
        <v>58</v>
      </c>
      <c r="P1" s="3" t="s">
        <v>50</v>
      </c>
      <c r="Q1" s="3" t="s">
        <v>7</v>
      </c>
      <c r="R1" s="3" t="s">
        <v>1</v>
      </c>
      <c r="S1" s="3" t="s">
        <v>75</v>
      </c>
      <c r="T1" s="3" t="s">
        <v>66</v>
      </c>
      <c r="U1" s="3" t="s">
        <v>28</v>
      </c>
      <c r="V1" s="3" t="s">
        <v>20</v>
      </c>
      <c r="W1" s="3" t="s">
        <v>9</v>
      </c>
      <c r="X1" s="3" t="s">
        <v>53</v>
      </c>
      <c r="Y1" s="3" t="s">
        <v>47</v>
      </c>
      <c r="Z1" s="3" t="s">
        <v>41</v>
      </c>
      <c r="AA1" s="3" t="s">
        <v>77</v>
      </c>
      <c r="AB1" s="3" t="s">
        <v>72</v>
      </c>
      <c r="AC1" s="3" t="s">
        <v>62</v>
      </c>
    </row>
    <row r="2" spans="1:29" x14ac:dyDescent="0.35">
      <c r="A2" t="s">
        <v>46</v>
      </c>
      <c r="B2" s="2" t="s">
        <v>6</v>
      </c>
      <c r="C2" t="s">
        <v>36</v>
      </c>
      <c r="D2" s="2" t="s">
        <v>27</v>
      </c>
      <c r="E2">
        <v>47.143000000000001</v>
      </c>
      <c r="F2">
        <v>47.548999999999999</v>
      </c>
      <c r="G2">
        <v>48.02</v>
      </c>
      <c r="H2">
        <v>48.618000000000002</v>
      </c>
      <c r="I2">
        <v>49.148000000000003</v>
      </c>
      <c r="J2">
        <v>49.537999999999997</v>
      </c>
      <c r="K2">
        <v>49.875999999999998</v>
      </c>
      <c r="L2">
        <v>50.381</v>
      </c>
      <c r="M2">
        <v>50.747999999999998</v>
      </c>
      <c r="N2">
        <v>51.08</v>
      </c>
      <c r="O2">
        <v>51.314999999999998</v>
      </c>
      <c r="P2">
        <v>51.49</v>
      </c>
      <c r="Q2">
        <v>51.688000000000002</v>
      </c>
      <c r="R2">
        <v>51.826999999999998</v>
      </c>
      <c r="S2">
        <v>51.94</v>
      </c>
      <c r="T2">
        <v>51.939</v>
      </c>
      <c r="U2">
        <v>52.189</v>
      </c>
      <c r="V2">
        <v>52.396999999999998</v>
      </c>
      <c r="W2">
        <v>52.668999999999997</v>
      </c>
      <c r="X2">
        <v>53.009</v>
      </c>
      <c r="Y2">
        <v>53.072000000000003</v>
      </c>
      <c r="Z2">
        <v>53.454999999999998</v>
      </c>
      <c r="AA2">
        <v>54.079000000000001</v>
      </c>
      <c r="AB2">
        <v>54.462000000000003</v>
      </c>
      <c r="AC2">
        <v>54.634999999999998</v>
      </c>
    </row>
    <row r="3" spans="1:29" x14ac:dyDescent="0.35">
      <c r="A3" t="s">
        <v>46</v>
      </c>
      <c r="B3" s="2" t="s">
        <v>6</v>
      </c>
      <c r="C3" t="s">
        <v>35</v>
      </c>
      <c r="D3" s="2" t="s">
        <v>3</v>
      </c>
      <c r="E3">
        <v>58.139000000000003</v>
      </c>
      <c r="F3">
        <v>58.402999999999999</v>
      </c>
      <c r="G3">
        <v>58.709000000000003</v>
      </c>
      <c r="H3">
        <v>59.014000000000003</v>
      </c>
      <c r="I3">
        <v>59.316000000000003</v>
      </c>
      <c r="J3">
        <v>59.637999999999998</v>
      </c>
      <c r="K3">
        <v>59.975000000000001</v>
      </c>
      <c r="L3">
        <v>60.281999999999996</v>
      </c>
      <c r="M3">
        <v>60.578000000000003</v>
      </c>
      <c r="N3">
        <v>60.927999999999997</v>
      </c>
      <c r="O3">
        <v>61.296999999999997</v>
      </c>
      <c r="P3">
        <v>61.616999999999997</v>
      </c>
      <c r="Q3">
        <v>61.994999999999997</v>
      </c>
      <c r="R3">
        <v>62.396999999999998</v>
      </c>
      <c r="S3">
        <v>62.832000000000001</v>
      </c>
      <c r="T3">
        <v>63.174999999999997</v>
      </c>
      <c r="U3">
        <v>63.521999999999998</v>
      </c>
      <c r="V3">
        <v>63.829000000000001</v>
      </c>
      <c r="W3">
        <v>64.138000000000005</v>
      </c>
      <c r="X3">
        <v>64.454999999999998</v>
      </c>
      <c r="Y3">
        <v>64.308999999999997</v>
      </c>
      <c r="Z3">
        <v>64.286000000000001</v>
      </c>
      <c r="AA3">
        <v>65.245999999999995</v>
      </c>
      <c r="AB3">
        <v>65.498000000000005</v>
      </c>
      <c r="AC3">
        <v>65.694999999999993</v>
      </c>
    </row>
    <row r="4" spans="1:29" x14ac:dyDescent="0.35">
      <c r="A4" t="s">
        <v>46</v>
      </c>
      <c r="B4" s="2" t="s">
        <v>6</v>
      </c>
      <c r="C4" t="s">
        <v>21</v>
      </c>
      <c r="D4" s="2" t="s">
        <v>55</v>
      </c>
      <c r="E4">
        <v>58.368000000000002</v>
      </c>
      <c r="F4">
        <v>57.161000000000001</v>
      </c>
      <c r="G4">
        <v>55.58</v>
      </c>
      <c r="H4">
        <v>54.244999999999997</v>
      </c>
      <c r="I4">
        <v>53.963000000000001</v>
      </c>
      <c r="J4">
        <v>53.914000000000001</v>
      </c>
      <c r="K4">
        <v>54.22</v>
      </c>
      <c r="L4">
        <v>54.948</v>
      </c>
      <c r="M4">
        <v>55.981999999999999</v>
      </c>
      <c r="N4">
        <v>57.412999999999997</v>
      </c>
      <c r="O4">
        <v>58.886000000000003</v>
      </c>
      <c r="P4">
        <v>60.601999999999997</v>
      </c>
      <c r="Q4">
        <v>61.737000000000002</v>
      </c>
      <c r="R4">
        <v>62.387999999999998</v>
      </c>
      <c r="S4">
        <v>63.183999999999997</v>
      </c>
      <c r="T4">
        <v>64.052999999999997</v>
      </c>
      <c r="U4">
        <v>64.748999999999995</v>
      </c>
      <c r="V4">
        <v>65.421999999999997</v>
      </c>
      <c r="W4">
        <v>65.725999999999999</v>
      </c>
      <c r="X4">
        <v>66.070999999999998</v>
      </c>
      <c r="Y4">
        <v>65.150000000000006</v>
      </c>
      <c r="Z4">
        <v>62.01</v>
      </c>
      <c r="AA4">
        <v>65.453999999999994</v>
      </c>
      <c r="AB4">
        <v>66.138999999999996</v>
      </c>
      <c r="AC4">
        <v>66.311999999999998</v>
      </c>
    </row>
    <row r="5" spans="1:29" x14ac:dyDescent="0.35">
      <c r="A5" t="s">
        <v>46</v>
      </c>
      <c r="B5" s="2" t="s">
        <v>6</v>
      </c>
      <c r="C5" t="s">
        <v>19</v>
      </c>
      <c r="D5" s="2" t="s">
        <v>31</v>
      </c>
      <c r="E5">
        <v>56.084000000000003</v>
      </c>
      <c r="F5">
        <v>56.500999999999998</v>
      </c>
      <c r="G5">
        <v>56.759</v>
      </c>
      <c r="H5">
        <v>57.369</v>
      </c>
      <c r="I5">
        <v>57.947000000000003</v>
      </c>
      <c r="J5">
        <v>58.51</v>
      </c>
      <c r="K5">
        <v>59.058999999999997</v>
      </c>
      <c r="L5">
        <v>59.406999999999996</v>
      </c>
      <c r="M5">
        <v>59.954999999999998</v>
      </c>
      <c r="N5">
        <v>60.482999999999997</v>
      </c>
      <c r="O5">
        <v>60.914999999999999</v>
      </c>
      <c r="P5">
        <v>61.283000000000001</v>
      </c>
      <c r="Q5">
        <v>61.536999999999999</v>
      </c>
      <c r="R5">
        <v>61.728999999999999</v>
      </c>
      <c r="S5">
        <v>61.99</v>
      </c>
      <c r="T5">
        <v>62.279000000000003</v>
      </c>
      <c r="U5">
        <v>62.526000000000003</v>
      </c>
      <c r="V5">
        <v>62.725000000000001</v>
      </c>
      <c r="W5">
        <v>62.825000000000003</v>
      </c>
      <c r="X5">
        <v>62.939</v>
      </c>
      <c r="Y5">
        <v>61.595999999999997</v>
      </c>
      <c r="Z5">
        <v>61.225000000000001</v>
      </c>
      <c r="AA5">
        <v>63.548999999999999</v>
      </c>
      <c r="AB5">
        <v>63.646000000000001</v>
      </c>
      <c r="AC5">
        <v>63.834000000000003</v>
      </c>
    </row>
    <row r="6" spans="1:29" x14ac:dyDescent="0.35">
      <c r="A6" t="s">
        <v>46</v>
      </c>
      <c r="B6" s="2" t="s">
        <v>6</v>
      </c>
      <c r="C6" t="s">
        <v>15</v>
      </c>
      <c r="D6" s="2" t="s">
        <v>23</v>
      </c>
      <c r="E6">
        <v>47.798000000000002</v>
      </c>
      <c r="F6">
        <v>49.49</v>
      </c>
      <c r="G6">
        <v>51.262</v>
      </c>
      <c r="H6">
        <v>53.529000000000003</v>
      </c>
      <c r="I6">
        <v>55.52</v>
      </c>
      <c r="J6">
        <v>56.968000000000004</v>
      </c>
      <c r="K6">
        <v>58.341999999999999</v>
      </c>
      <c r="L6">
        <v>59.503999999999998</v>
      </c>
      <c r="M6">
        <v>60.640999999999998</v>
      </c>
      <c r="N6">
        <v>61.813000000000002</v>
      </c>
      <c r="O6">
        <v>62.804000000000002</v>
      </c>
      <c r="P6">
        <v>63.475999999999999</v>
      </c>
      <c r="Q6">
        <v>64.188999999999993</v>
      </c>
      <c r="R6">
        <v>64.650999999999996</v>
      </c>
      <c r="S6">
        <v>65.087999999999994</v>
      </c>
      <c r="T6">
        <v>65.418999999999997</v>
      </c>
      <c r="U6">
        <v>65.733000000000004</v>
      </c>
      <c r="V6">
        <v>66.14</v>
      </c>
      <c r="W6">
        <v>66.353999999999999</v>
      </c>
      <c r="X6">
        <v>66.691000000000003</v>
      </c>
      <c r="Y6">
        <v>66.953000000000003</v>
      </c>
      <c r="Z6">
        <v>66.849999999999994</v>
      </c>
      <c r="AA6">
        <v>67.528000000000006</v>
      </c>
      <c r="AB6">
        <v>67.784999999999997</v>
      </c>
      <c r="AC6">
        <v>68.016999999999996</v>
      </c>
    </row>
    <row r="7" spans="1:29" x14ac:dyDescent="0.35">
      <c r="A7" t="s">
        <v>54</v>
      </c>
      <c r="B7" s="2" t="s">
        <v>70</v>
      </c>
      <c r="C7" t="s">
        <v>36</v>
      </c>
      <c r="D7" s="2" t="s">
        <v>27</v>
      </c>
      <c r="E7">
        <v>177.3</v>
      </c>
      <c r="F7">
        <v>170.5</v>
      </c>
      <c r="G7">
        <v>163.9</v>
      </c>
      <c r="H7">
        <v>157.4</v>
      </c>
      <c r="I7">
        <v>151.4</v>
      </c>
      <c r="J7">
        <v>145.80000000000001</v>
      </c>
      <c r="K7">
        <v>140.9</v>
      </c>
      <c r="L7">
        <v>136.5</v>
      </c>
      <c r="M7">
        <v>132.5</v>
      </c>
      <c r="N7">
        <v>129.19999999999999</v>
      </c>
      <c r="O7">
        <v>126.3</v>
      </c>
      <c r="P7">
        <v>123.8</v>
      </c>
      <c r="Q7">
        <v>121.6</v>
      </c>
      <c r="R7">
        <v>119.9</v>
      </c>
      <c r="S7">
        <v>118.7</v>
      </c>
      <c r="T7">
        <v>117.8</v>
      </c>
      <c r="U7">
        <v>117.4</v>
      </c>
      <c r="V7">
        <v>117.2</v>
      </c>
      <c r="W7">
        <v>117.2</v>
      </c>
      <c r="X7">
        <v>117.4</v>
      </c>
      <c r="Y7">
        <v>117.4</v>
      </c>
      <c r="Z7">
        <v>117.6</v>
      </c>
      <c r="AA7">
        <v>117.5</v>
      </c>
      <c r="AB7">
        <v>116.8</v>
      </c>
      <c r="AC7">
        <v>115.6</v>
      </c>
    </row>
    <row r="8" spans="1:29" x14ac:dyDescent="0.35">
      <c r="A8" t="s">
        <v>54</v>
      </c>
      <c r="B8" s="2" t="s">
        <v>70</v>
      </c>
      <c r="C8" t="s">
        <v>35</v>
      </c>
      <c r="D8" s="2" t="s">
        <v>3</v>
      </c>
      <c r="E8">
        <v>99.9</v>
      </c>
      <c r="F8">
        <v>95.8</v>
      </c>
      <c r="G8">
        <v>91.9</v>
      </c>
      <c r="H8">
        <v>88.2</v>
      </c>
      <c r="I8">
        <v>85</v>
      </c>
      <c r="J8">
        <v>82</v>
      </c>
      <c r="K8">
        <v>79.099999999999994</v>
      </c>
      <c r="L8">
        <v>76.2</v>
      </c>
      <c r="M8">
        <v>73.099999999999994</v>
      </c>
      <c r="N8">
        <v>69.8</v>
      </c>
      <c r="O8">
        <v>66.5</v>
      </c>
      <c r="P8">
        <v>63.3</v>
      </c>
      <c r="Q8">
        <v>60.3</v>
      </c>
      <c r="R8">
        <v>57.5</v>
      </c>
      <c r="S8">
        <v>54.9</v>
      </c>
      <c r="T8">
        <v>52.5</v>
      </c>
      <c r="U8">
        <v>50.3</v>
      </c>
      <c r="V8">
        <v>48.2</v>
      </c>
      <c r="W8">
        <v>46.1</v>
      </c>
      <c r="X8">
        <v>44.1</v>
      </c>
      <c r="Y8">
        <v>42.2</v>
      </c>
      <c r="Z8">
        <v>40.299999999999997</v>
      </c>
      <c r="AA8">
        <v>38.6</v>
      </c>
      <c r="AB8">
        <v>37.200000000000003</v>
      </c>
      <c r="AC8">
        <v>35.9</v>
      </c>
    </row>
    <row r="9" spans="1:29" x14ac:dyDescent="0.35">
      <c r="A9" t="s">
        <v>54</v>
      </c>
      <c r="B9" s="2" t="s">
        <v>70</v>
      </c>
      <c r="C9" t="s">
        <v>21</v>
      </c>
      <c r="D9" s="2" t="s">
        <v>55</v>
      </c>
      <c r="E9">
        <v>71.400000000000006</v>
      </c>
      <c r="F9">
        <v>74.5</v>
      </c>
      <c r="G9">
        <v>77</v>
      </c>
      <c r="H9">
        <v>79.2</v>
      </c>
      <c r="I9">
        <v>80.7</v>
      </c>
      <c r="J9">
        <v>79.8</v>
      </c>
      <c r="K9">
        <v>76.900000000000006</v>
      </c>
      <c r="L9">
        <v>71.2</v>
      </c>
      <c r="M9">
        <v>63.7</v>
      </c>
      <c r="N9">
        <v>56.9</v>
      </c>
      <c r="O9">
        <v>50.3</v>
      </c>
      <c r="P9">
        <v>45.6</v>
      </c>
      <c r="Q9">
        <v>43.1</v>
      </c>
      <c r="R9">
        <v>41.4</v>
      </c>
      <c r="S9">
        <v>39.700000000000003</v>
      </c>
      <c r="T9">
        <v>38.200000000000003</v>
      </c>
      <c r="U9">
        <v>36.799999999999997</v>
      </c>
      <c r="V9">
        <v>35.700000000000003</v>
      </c>
      <c r="W9">
        <v>34.9</v>
      </c>
      <c r="X9">
        <v>34.299999999999997</v>
      </c>
      <c r="Y9">
        <v>33.9</v>
      </c>
      <c r="Z9">
        <v>34</v>
      </c>
      <c r="AA9">
        <v>34.299999999999997</v>
      </c>
      <c r="AB9">
        <v>34.799999999999997</v>
      </c>
      <c r="AC9">
        <v>35.1</v>
      </c>
    </row>
    <row r="10" spans="1:29" x14ac:dyDescent="0.35">
      <c r="A10" t="s">
        <v>54</v>
      </c>
      <c r="B10" s="2" t="s">
        <v>70</v>
      </c>
      <c r="C10" t="s">
        <v>19</v>
      </c>
      <c r="D10" s="2" t="s">
        <v>31</v>
      </c>
      <c r="E10">
        <v>95.2</v>
      </c>
      <c r="F10">
        <v>90.5</v>
      </c>
      <c r="G10">
        <v>85.6</v>
      </c>
      <c r="H10">
        <v>80.8</v>
      </c>
      <c r="I10">
        <v>76.099999999999994</v>
      </c>
      <c r="J10">
        <v>71.2</v>
      </c>
      <c r="K10">
        <v>66.8</v>
      </c>
      <c r="L10">
        <v>62.9</v>
      </c>
      <c r="M10">
        <v>58</v>
      </c>
      <c r="N10">
        <v>55.2</v>
      </c>
      <c r="O10">
        <v>53.1</v>
      </c>
      <c r="P10">
        <v>51.7</v>
      </c>
      <c r="Q10">
        <v>50.7</v>
      </c>
      <c r="R10">
        <v>49.4</v>
      </c>
      <c r="S10">
        <v>48.3</v>
      </c>
      <c r="T10">
        <v>46.8</v>
      </c>
      <c r="U10">
        <v>45.5</v>
      </c>
      <c r="V10">
        <v>44.7</v>
      </c>
      <c r="W10">
        <v>43.7</v>
      </c>
      <c r="X10">
        <v>42.7</v>
      </c>
      <c r="Y10">
        <v>42.1</v>
      </c>
      <c r="Z10">
        <v>41.3</v>
      </c>
      <c r="AA10">
        <v>40.5</v>
      </c>
      <c r="AB10">
        <v>39.6</v>
      </c>
      <c r="AC10">
        <v>38.799999999999997</v>
      </c>
    </row>
    <row r="11" spans="1:29" x14ac:dyDescent="0.35">
      <c r="A11" t="s">
        <v>54</v>
      </c>
      <c r="B11" s="2" t="s">
        <v>70</v>
      </c>
      <c r="C11" t="s">
        <v>15</v>
      </c>
      <c r="D11" s="2" t="s">
        <v>23</v>
      </c>
      <c r="E11">
        <v>184.2</v>
      </c>
      <c r="F11">
        <v>166.5</v>
      </c>
      <c r="G11">
        <v>149.1</v>
      </c>
      <c r="H11">
        <v>132.69999999999999</v>
      </c>
      <c r="I11">
        <v>117.5</v>
      </c>
      <c r="J11">
        <v>104.5</v>
      </c>
      <c r="K11">
        <v>93.4</v>
      </c>
      <c r="L11">
        <v>84.1</v>
      </c>
      <c r="M11">
        <v>76</v>
      </c>
      <c r="N11">
        <v>69.099999999999994</v>
      </c>
      <c r="O11">
        <v>63.3</v>
      </c>
      <c r="P11">
        <v>58.1</v>
      </c>
      <c r="Q11">
        <v>54.2</v>
      </c>
      <c r="R11">
        <v>51.4</v>
      </c>
      <c r="S11">
        <v>49.2</v>
      </c>
      <c r="T11">
        <v>47.3</v>
      </c>
      <c r="U11">
        <v>45.8</v>
      </c>
      <c r="V11">
        <v>44.7</v>
      </c>
      <c r="W11">
        <v>43.7</v>
      </c>
      <c r="X11">
        <v>42.7</v>
      </c>
      <c r="Y11">
        <v>41.6</v>
      </c>
      <c r="Z11">
        <v>40.6</v>
      </c>
      <c r="AA11">
        <v>39.700000000000003</v>
      </c>
      <c r="AB11">
        <v>38.799999999999997</v>
      </c>
      <c r="AC11">
        <v>37.700000000000003</v>
      </c>
    </row>
    <row r="12" spans="1:29" x14ac:dyDescent="0.35">
      <c r="A12" t="s">
        <v>18</v>
      </c>
      <c r="B12" s="2" t="s">
        <v>73</v>
      </c>
      <c r="C12" t="s">
        <v>36</v>
      </c>
      <c r="D12" s="2" t="s">
        <v>27</v>
      </c>
      <c r="E12">
        <v>29</v>
      </c>
      <c r="F12">
        <v>27</v>
      </c>
      <c r="G12">
        <v>25</v>
      </c>
      <c r="H12">
        <v>29</v>
      </c>
      <c r="I12">
        <v>33</v>
      </c>
      <c r="J12">
        <v>36</v>
      </c>
      <c r="K12">
        <v>40</v>
      </c>
      <c r="L12">
        <v>42</v>
      </c>
      <c r="M12">
        <v>53</v>
      </c>
      <c r="N12">
        <v>63</v>
      </c>
      <c r="O12">
        <v>56</v>
      </c>
      <c r="P12">
        <v>53</v>
      </c>
      <c r="Q12">
        <v>36</v>
      </c>
      <c r="R12">
        <v>39</v>
      </c>
      <c r="S12">
        <v>43</v>
      </c>
      <c r="T12">
        <v>42</v>
      </c>
      <c r="U12">
        <v>53</v>
      </c>
      <c r="V12">
        <v>55</v>
      </c>
      <c r="W12">
        <v>61</v>
      </c>
      <c r="X12">
        <v>66</v>
      </c>
      <c r="Y12">
        <v>62</v>
      </c>
      <c r="Z12">
        <v>61</v>
      </c>
      <c r="AA12">
        <v>59</v>
      </c>
      <c r="AB12">
        <v>67</v>
      </c>
      <c r="AC12">
        <v>67</v>
      </c>
    </row>
    <row r="13" spans="1:29" x14ac:dyDescent="0.35">
      <c r="A13" t="s">
        <v>18</v>
      </c>
      <c r="B13" s="2" t="s">
        <v>73</v>
      </c>
      <c r="C13" t="s">
        <v>35</v>
      </c>
      <c r="D13" s="2" t="s">
        <v>3</v>
      </c>
      <c r="E13">
        <v>88</v>
      </c>
      <c r="F13">
        <v>79</v>
      </c>
      <c r="G13">
        <v>78</v>
      </c>
      <c r="H13">
        <v>80</v>
      </c>
      <c r="I13">
        <v>80</v>
      </c>
      <c r="J13">
        <v>84</v>
      </c>
      <c r="K13">
        <v>84</v>
      </c>
      <c r="L13">
        <v>94</v>
      </c>
      <c r="M13">
        <v>93</v>
      </c>
      <c r="N13">
        <v>94</v>
      </c>
      <c r="O13">
        <v>94</v>
      </c>
      <c r="P13">
        <v>91</v>
      </c>
      <c r="Q13">
        <v>92</v>
      </c>
      <c r="R13">
        <v>90</v>
      </c>
      <c r="S13">
        <v>98</v>
      </c>
      <c r="T13">
        <v>89</v>
      </c>
      <c r="U13">
        <v>93</v>
      </c>
      <c r="V13">
        <v>99</v>
      </c>
      <c r="W13">
        <v>97</v>
      </c>
      <c r="X13">
        <v>97</v>
      </c>
      <c r="Y13">
        <v>94</v>
      </c>
      <c r="Z13">
        <v>98</v>
      </c>
      <c r="AA13">
        <v>99</v>
      </c>
      <c r="AB13">
        <v>95</v>
      </c>
      <c r="AC13">
        <v>95</v>
      </c>
    </row>
    <row r="14" spans="1:29" x14ac:dyDescent="0.35">
      <c r="A14" t="s">
        <v>18</v>
      </c>
      <c r="B14" s="2" t="s">
        <v>73</v>
      </c>
      <c r="C14" t="s">
        <v>21</v>
      </c>
      <c r="D14" s="2" t="s">
        <v>55</v>
      </c>
      <c r="E14">
        <v>73</v>
      </c>
      <c r="F14">
        <v>71</v>
      </c>
      <c r="G14">
        <v>70</v>
      </c>
      <c r="H14">
        <v>69</v>
      </c>
      <c r="I14">
        <v>74</v>
      </c>
      <c r="J14">
        <v>81</v>
      </c>
      <c r="K14">
        <v>84</v>
      </c>
      <c r="L14">
        <v>85</v>
      </c>
      <c r="M14">
        <v>82</v>
      </c>
      <c r="N14">
        <v>81</v>
      </c>
      <c r="O14">
        <v>77</v>
      </c>
      <c r="P14">
        <v>75</v>
      </c>
      <c r="Q14">
        <v>71</v>
      </c>
      <c r="R14">
        <v>81</v>
      </c>
      <c r="S14">
        <v>85</v>
      </c>
      <c r="T14">
        <v>85</v>
      </c>
      <c r="U14">
        <v>85</v>
      </c>
      <c r="V14">
        <v>84</v>
      </c>
      <c r="W14">
        <v>82</v>
      </c>
      <c r="X14">
        <v>85</v>
      </c>
      <c r="Y14">
        <v>84</v>
      </c>
      <c r="Z14">
        <v>86</v>
      </c>
      <c r="AA14">
        <v>85</v>
      </c>
      <c r="AB14">
        <v>79</v>
      </c>
      <c r="AC14">
        <v>74</v>
      </c>
    </row>
    <row r="15" spans="1:29" x14ac:dyDescent="0.35">
      <c r="A15" t="s">
        <v>18</v>
      </c>
      <c r="B15" s="2" t="s">
        <v>73</v>
      </c>
      <c r="C15" t="s">
        <v>19</v>
      </c>
      <c r="D15" s="2" t="s">
        <v>31</v>
      </c>
      <c r="E15">
        <v>82</v>
      </c>
      <c r="F15">
        <v>80</v>
      </c>
      <c r="G15">
        <v>84</v>
      </c>
      <c r="H15">
        <v>73</v>
      </c>
      <c r="I15">
        <v>73</v>
      </c>
      <c r="J15">
        <v>76</v>
      </c>
      <c r="K15">
        <v>80</v>
      </c>
      <c r="L15">
        <v>81</v>
      </c>
      <c r="M15">
        <v>88</v>
      </c>
      <c r="N15">
        <v>88</v>
      </c>
      <c r="O15">
        <v>90</v>
      </c>
      <c r="P15">
        <v>96</v>
      </c>
      <c r="Q15">
        <v>94</v>
      </c>
      <c r="R15">
        <v>87</v>
      </c>
      <c r="S15">
        <v>92</v>
      </c>
      <c r="T15">
        <v>89</v>
      </c>
      <c r="U15">
        <v>88</v>
      </c>
      <c r="V15">
        <v>81</v>
      </c>
      <c r="W15">
        <v>91</v>
      </c>
      <c r="X15">
        <v>93</v>
      </c>
      <c r="Y15">
        <v>93</v>
      </c>
      <c r="Z15">
        <v>95</v>
      </c>
      <c r="AA15">
        <v>94</v>
      </c>
      <c r="AB15">
        <v>93</v>
      </c>
      <c r="AC15">
        <v>91</v>
      </c>
    </row>
    <row r="16" spans="1:29" x14ac:dyDescent="0.35">
      <c r="A16" t="s">
        <v>18</v>
      </c>
      <c r="B16" s="2" t="s">
        <v>73</v>
      </c>
      <c r="C16" t="s">
        <v>15</v>
      </c>
      <c r="D16" s="2" t="s">
        <v>23</v>
      </c>
      <c r="E16">
        <v>90</v>
      </c>
      <c r="F16">
        <v>77</v>
      </c>
      <c r="G16">
        <v>88</v>
      </c>
      <c r="H16">
        <v>96</v>
      </c>
      <c r="I16">
        <v>89</v>
      </c>
      <c r="J16">
        <v>95</v>
      </c>
      <c r="K16">
        <v>99</v>
      </c>
      <c r="L16">
        <v>97</v>
      </c>
      <c r="M16">
        <v>97</v>
      </c>
      <c r="N16">
        <v>97</v>
      </c>
      <c r="O16">
        <v>97</v>
      </c>
      <c r="P16">
        <v>97</v>
      </c>
      <c r="Q16">
        <v>98</v>
      </c>
      <c r="R16">
        <v>98</v>
      </c>
      <c r="S16">
        <v>98</v>
      </c>
      <c r="T16">
        <v>98</v>
      </c>
      <c r="U16">
        <v>98</v>
      </c>
      <c r="V16">
        <v>98</v>
      </c>
      <c r="W16">
        <v>97</v>
      </c>
      <c r="X16">
        <v>98</v>
      </c>
      <c r="Y16">
        <v>91</v>
      </c>
      <c r="Z16">
        <v>88</v>
      </c>
      <c r="AA16">
        <v>98</v>
      </c>
      <c r="AB16">
        <v>94</v>
      </c>
      <c r="AC16">
        <v>98</v>
      </c>
    </row>
    <row r="17" spans="1:4" x14ac:dyDescent="0.35">
      <c r="B17" s="2"/>
      <c r="D17" s="2"/>
    </row>
    <row r="18" spans="1:4" x14ac:dyDescent="0.35">
      <c r="B18" s="2"/>
      <c r="D18" s="2"/>
    </row>
    <row r="19" spans="1:4" x14ac:dyDescent="0.35">
      <c r="B19" s="2"/>
      <c r="D19" s="2"/>
    </row>
    <row r="20" spans="1:4" x14ac:dyDescent="0.35">
      <c r="A20" t="s">
        <v>10</v>
      </c>
      <c r="B20" s="2"/>
      <c r="D20" s="2"/>
    </row>
    <row r="21" spans="1:4" x14ac:dyDescent="0.35">
      <c r="A2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5" x14ac:dyDescent="0.35"/>
  <cols>
    <col min="1" max="1" width="20.81640625" customWidth="1"/>
    <col min="2" max="2" width="19.36328125" customWidth="1"/>
  </cols>
  <sheetData>
    <row r="1" spans="1:2" x14ac:dyDescent="0.35">
      <c r="A1" s="3" t="s">
        <v>78</v>
      </c>
      <c r="B1" s="3" t="s">
        <v>79</v>
      </c>
    </row>
    <row r="2" spans="1:2" x14ac:dyDescent="0.35">
      <c r="A2" t="s">
        <v>80</v>
      </c>
      <c r="B2">
        <f>COUNTA(Data!C2:C16)</f>
        <v>15</v>
      </c>
    </row>
    <row r="3" spans="1:2" x14ac:dyDescent="0.35">
      <c r="A3" t="s">
        <v>81</v>
      </c>
      <c r="B3">
        <f>COUNTA(Data!E1:AC1)</f>
        <v>25</v>
      </c>
    </row>
    <row r="4" spans="1:2" x14ac:dyDescent="0.35">
      <c r="A4" t="s">
        <v>82</v>
      </c>
      <c r="B4">
        <f>COUNT(Data!E2:AC16)</f>
        <v>375</v>
      </c>
    </row>
    <row r="5" spans="1:2" x14ac:dyDescent="0.35">
      <c r="A5" t="s">
        <v>84</v>
      </c>
      <c r="B5">
        <f>COUNTBLANK(Data!E2:AC16)</f>
        <v>0</v>
      </c>
    </row>
    <row r="6" spans="1:2" x14ac:dyDescent="0.35">
      <c r="A6" t="s">
        <v>83</v>
      </c>
      <c r="B6">
        <f>COUNTA(Data!E2:AC16)-COUNT(Data!E2:AC16)</f>
        <v>0</v>
      </c>
    </row>
    <row r="7" spans="1:2" x14ac:dyDescent="0.35">
      <c r="A7" t="s">
        <v>85</v>
      </c>
      <c r="B7">
        <f>COUNTBLANK(Data!A2:D16)</f>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topLeftCell="BP1" workbookViewId="0">
      <selection activeCell="CH9" sqref="CH9"/>
    </sheetView>
  </sheetViews>
  <sheetFormatPr defaultRowHeight="14.5" x14ac:dyDescent="0.35"/>
  <cols>
    <col min="1" max="1" width="15.81640625" customWidth="1"/>
    <col min="2" max="11" width="50.81640625" customWidth="1"/>
  </cols>
  <sheetData>
    <row r="1" spans="1:11" x14ac:dyDescent="0.35">
      <c r="A1" s="1" t="s">
        <v>11</v>
      </c>
      <c r="B1" s="1" t="s">
        <v>37</v>
      </c>
      <c r="C1" s="1" t="s">
        <v>74</v>
      </c>
      <c r="D1" s="1" t="s">
        <v>48</v>
      </c>
      <c r="E1" s="1" t="s">
        <v>69</v>
      </c>
      <c r="F1" s="1" t="s">
        <v>45</v>
      </c>
      <c r="G1" s="1" t="s">
        <v>49</v>
      </c>
      <c r="H1" s="1" t="s">
        <v>2</v>
      </c>
      <c r="I1" s="1" t="s">
        <v>63</v>
      </c>
      <c r="J1" s="1" t="s">
        <v>0</v>
      </c>
      <c r="K1" s="1" t="s">
        <v>33</v>
      </c>
    </row>
    <row r="2" spans="1:11" x14ac:dyDescent="0.35">
      <c r="A2" s="1" t="s">
        <v>6</v>
      </c>
      <c r="B2" s="1" t="s">
        <v>43</v>
      </c>
      <c r="C2" s="1" t="s">
        <v>46</v>
      </c>
      <c r="D2" s="1" t="s">
        <v>29</v>
      </c>
      <c r="E2" s="1" t="s">
        <v>52</v>
      </c>
      <c r="F2" s="1" t="s">
        <v>68</v>
      </c>
      <c r="G2" s="1" t="s">
        <v>17</v>
      </c>
      <c r="H2" s="1" t="s">
        <v>13</v>
      </c>
      <c r="I2" s="1" t="s">
        <v>26</v>
      </c>
      <c r="J2" s="1" t="s">
        <v>22</v>
      </c>
      <c r="K2" s="1" t="s">
        <v>4</v>
      </c>
    </row>
    <row r="3" spans="1:11" x14ac:dyDescent="0.35">
      <c r="A3" s="1" t="s">
        <v>70</v>
      </c>
      <c r="B3" s="1" t="s">
        <v>43</v>
      </c>
      <c r="C3" s="1" t="s">
        <v>16</v>
      </c>
      <c r="D3" s="1" t="s">
        <v>61</v>
      </c>
      <c r="E3" s="1" t="s">
        <v>56</v>
      </c>
      <c r="F3" s="1" t="s">
        <v>68</v>
      </c>
      <c r="G3" s="1" t="s">
        <v>17</v>
      </c>
      <c r="H3" s="1" t="s">
        <v>13</v>
      </c>
      <c r="I3" s="1" t="s">
        <v>38</v>
      </c>
      <c r="J3" s="1" t="s">
        <v>22</v>
      </c>
      <c r="K3" s="1" t="s">
        <v>39</v>
      </c>
    </row>
    <row r="4" spans="1:11" x14ac:dyDescent="0.35">
      <c r="A4" s="1" t="s">
        <v>73</v>
      </c>
      <c r="B4" s="1" t="s">
        <v>43</v>
      </c>
      <c r="C4" s="1" t="s">
        <v>18</v>
      </c>
      <c r="D4" s="1" t="s">
        <v>30</v>
      </c>
      <c r="E4" s="1" t="s">
        <v>59</v>
      </c>
      <c r="F4" s="1" t="s">
        <v>34</v>
      </c>
      <c r="G4" s="1" t="s">
        <v>17</v>
      </c>
      <c r="H4" s="1" t="s">
        <v>13</v>
      </c>
      <c r="I4" s="1" t="s">
        <v>65</v>
      </c>
      <c r="J4" s="1" t="s">
        <v>40</v>
      </c>
      <c r="K4"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Data-Profile</vt:lpstr>
      <vt:lpstr>Series - Metadata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2026-10-19T10:45:48Z</dcterms:created>
  <dcterms:modified xsi:type="dcterms:W3CDTF">2026-10-19T14:52:06Z</dcterms:modified>
</cp:coreProperties>
</file>